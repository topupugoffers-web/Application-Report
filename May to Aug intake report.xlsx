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70" windowHeight="11880"/>
  </bookViews>
  <sheets>
    <sheet name="Summary Dashboard" sheetId="1" r:id="rId1"/>
  </sheets>
  <calcPr calcId="162913"/>
</workbook>
</file>

<file path=xl/calcChain.xml><?xml version="1.0" encoding="utf-8"?>
<calcChain xmlns="http://schemas.openxmlformats.org/spreadsheetml/2006/main">
  <c r="N5" i="1" l="1"/>
  <c r="F16" i="1"/>
  <c r="G16" i="1"/>
  <c r="C16" i="1"/>
  <c r="E16" i="1"/>
  <c r="D16" i="1"/>
  <c r="B16" i="1"/>
</calcChain>
</file>

<file path=xl/sharedStrings.xml><?xml version="1.0" encoding="utf-8"?>
<sst xmlns="http://schemas.openxmlformats.org/spreadsheetml/2006/main" count="26" uniqueCount="22">
  <si>
    <t>Status Component</t>
  </si>
  <si>
    <t>Total Applications</t>
  </si>
  <si>
    <t>Active</t>
  </si>
  <si>
    <t>Withdrawn</t>
  </si>
  <si>
    <t>On Hold</t>
  </si>
  <si>
    <t>TOTAL APPS</t>
  </si>
  <si>
    <t>VALID APPS</t>
  </si>
  <si>
    <t>ACTIVE APPS</t>
  </si>
  <si>
    <t>WITHDRAWN</t>
  </si>
  <si>
    <t>REJECTED</t>
  </si>
  <si>
    <t>Rejected</t>
  </si>
  <si>
    <t>Course Category</t>
  </si>
  <si>
    <t>Valid Applications</t>
  </si>
  <si>
    <t>Active Applications</t>
  </si>
  <si>
    <t>UG</t>
  </si>
  <si>
    <t>PG</t>
  </si>
  <si>
    <t>Ext. Mgmt</t>
  </si>
  <si>
    <t>Top-Up</t>
  </si>
  <si>
    <t>PDP</t>
  </si>
  <si>
    <t>GRAND TOTAL</t>
  </si>
  <si>
    <t>May to Aug intake report</t>
  </si>
  <si>
    <t xml:space="preserve">Report Date: 23 June 2026  ·  Prepared by: Ashish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</si>
</sst>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0"/>
      <color rgb="FFD9D9D9"/>
      <name val="Segoe UI"/>
      <family val="2"/>
    </font>
    <font>
      <b/>
      <sz val="8"/>
      <color rgb="FFFFFFFF"/>
      <name val="Segoe UI"/>
      <family val="2"/>
    </font>
    <font>
      <b/>
      <sz val="16"/>
      <name val="Segoe UI"/>
      <family val="2"/>
    </font>
    <font>
      <i/>
      <sz val="8"/>
      <name val="Segoe UI"/>
      <family val="2"/>
    </font>
    <font>
      <b/>
      <sz val="11"/>
      <color rgb="FF1F3864"/>
      <name val="Segoe UI"/>
      <family val="2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DA7"/>
        <bgColor rgb="FF2E4DA7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415B8C"/>
        <bgColor rgb="FF415B8C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right" vertical="center"/>
    </xf>
    <xf numFmtId="0" fontId="8" fillId="0" borderId="1" xfId="0" applyFont="1" applyBorder="1"/>
    <xf numFmtId="3" fontId="9" fillId="0" borderId="1" xfId="0" applyNumberFormat="1" applyFont="1" applyBorder="1" applyAlignment="1">
      <alignment horizontal="right"/>
    </xf>
    <xf numFmtId="0" fontId="8" fillId="8" borderId="1" xfId="0" applyFont="1" applyFill="1" applyBorder="1"/>
    <xf numFmtId="3" fontId="9" fillId="8" borderId="1" xfId="0" applyNumberFormat="1" applyFont="1" applyFill="1" applyBorder="1" applyAlignment="1">
      <alignment horizontal="right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3" fontId="9" fillId="0" borderId="2" xfId="0" applyNumberFormat="1" applyFont="1" applyFill="1" applyBorder="1" applyAlignment="1">
      <alignment horizontal="right"/>
    </xf>
    <xf numFmtId="3" fontId="9" fillId="8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APPLICATION OVERVIEW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Dashboard'!$B$10</c:f>
              <c:strCache>
                <c:ptCount val="1"/>
                <c:pt idx="0">
                  <c:v>Total Applications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Dashboard'!$A$11:$A$15</c:f>
              <c:strCache>
                <c:ptCount val="5"/>
                <c:pt idx="0">
                  <c:v>UG</c:v>
                </c:pt>
                <c:pt idx="1">
                  <c:v>PG</c:v>
                </c:pt>
                <c:pt idx="2">
                  <c:v>Ext. Mgmt</c:v>
                </c:pt>
                <c:pt idx="3">
                  <c:v>Top-Up</c:v>
                </c:pt>
                <c:pt idx="4">
                  <c:v>PDP</c:v>
                </c:pt>
              </c:strCache>
            </c:strRef>
          </c:cat>
          <c:val>
            <c:numRef>
              <c:f>'Summary Dashboard'!$B$11:$B$15</c:f>
              <c:numCache>
                <c:formatCode>#,##0</c:formatCode>
                <c:ptCount val="5"/>
                <c:pt idx="0">
                  <c:v>1632</c:v>
                </c:pt>
                <c:pt idx="1">
                  <c:v>771</c:v>
                </c:pt>
                <c:pt idx="2">
                  <c:v>345</c:v>
                </c:pt>
                <c:pt idx="3">
                  <c:v>294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E-4289-BD9A-D95C7E081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APPLICATION</a:t>
            </a:r>
            <a:r>
              <a:rPr lang="en-US" baseline="0"/>
              <a:t> STATUS OVERVIEW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Dashboard'!$N$1</c:f>
              <c:strCache>
                <c:ptCount val="1"/>
                <c:pt idx="0">
                  <c:v>Total Applications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Dashboard'!$M$2:$M$5</c:f>
              <c:strCache>
                <c:ptCount val="4"/>
                <c:pt idx="0">
                  <c:v>Active</c:v>
                </c:pt>
                <c:pt idx="1">
                  <c:v>Withdrawn</c:v>
                </c:pt>
                <c:pt idx="2">
                  <c:v>On Hold</c:v>
                </c:pt>
                <c:pt idx="3">
                  <c:v>Rejected</c:v>
                </c:pt>
              </c:strCache>
            </c:strRef>
          </c:cat>
          <c:val>
            <c:numRef>
              <c:f>'Summary Dashboard'!$N$2:$N$5</c:f>
              <c:numCache>
                <c:formatCode>General</c:formatCode>
                <c:ptCount val="4"/>
                <c:pt idx="0">
                  <c:v>1864</c:v>
                </c:pt>
                <c:pt idx="1">
                  <c:v>742</c:v>
                </c:pt>
                <c:pt idx="2">
                  <c:v>418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E-4D13-A38B-E374B0B3B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19</xdr:row>
      <xdr:rowOff>85725</xdr:rowOff>
    </xdr:from>
    <xdr:ext cx="324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400050</xdr:colOff>
      <xdr:row>19</xdr:row>
      <xdr:rowOff>57150</xdr:rowOff>
    </xdr:from>
    <xdr:ext cx="324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K19" sqref="K19"/>
    </sheetView>
  </sheetViews>
  <sheetFormatPr defaultRowHeight="15" x14ac:dyDescent="0.25"/>
  <cols>
    <col min="1" max="1" width="18" customWidth="1"/>
    <col min="2" max="3" width="21" customWidth="1"/>
    <col min="4" max="4" width="22" customWidth="1"/>
    <col min="5" max="5" width="17" customWidth="1"/>
    <col min="6" max="6" width="15" customWidth="1"/>
    <col min="7" max="7" width="17" customWidth="1"/>
    <col min="8" max="8" width="15" customWidth="1"/>
    <col min="9" max="9" width="17" customWidth="1"/>
    <col min="10" max="12" width="12" customWidth="1"/>
    <col min="13" max="13" width="19" customWidth="1"/>
    <col min="14" max="14" width="21" customWidth="1"/>
    <col min="15" max="15" width="9.140625" customWidth="1"/>
  </cols>
  <sheetData>
    <row r="1" spans="1:14" x14ac:dyDescent="0.25">
      <c r="M1" t="s">
        <v>0</v>
      </c>
      <c r="N1" t="s">
        <v>1</v>
      </c>
    </row>
    <row r="2" spans="1:14" ht="24.95" customHeight="1" x14ac:dyDescent="0.25">
      <c r="A2" s="19" t="s">
        <v>20</v>
      </c>
      <c r="B2" s="18"/>
      <c r="C2" s="18"/>
      <c r="D2" s="18"/>
      <c r="E2" s="18"/>
      <c r="F2" s="18"/>
      <c r="G2" s="18"/>
      <c r="H2" s="18"/>
      <c r="I2" s="18"/>
      <c r="J2" s="18"/>
      <c r="M2" t="s">
        <v>2</v>
      </c>
      <c r="N2">
        <v>1864</v>
      </c>
    </row>
    <row r="3" spans="1:14" ht="18" customHeight="1" x14ac:dyDescent="0.25">
      <c r="A3" s="17" t="s">
        <v>21</v>
      </c>
      <c r="B3" s="18"/>
      <c r="C3" s="18"/>
      <c r="D3" s="18"/>
      <c r="E3" s="18"/>
      <c r="F3" s="18"/>
      <c r="G3" s="18"/>
      <c r="H3" s="18"/>
      <c r="I3" s="18"/>
      <c r="J3" s="18"/>
      <c r="M3" t="s">
        <v>3</v>
      </c>
      <c r="N3">
        <v>742</v>
      </c>
    </row>
    <row r="4" spans="1:14" x14ac:dyDescent="0.25">
      <c r="M4" t="s">
        <v>4</v>
      </c>
      <c r="N4">
        <v>418</v>
      </c>
    </row>
    <row r="5" spans="1:14" x14ac:dyDescent="0.25">
      <c r="A5" s="1" t="s">
        <v>5</v>
      </c>
      <c r="C5" s="2" t="s">
        <v>6</v>
      </c>
      <c r="E5" s="3" t="s">
        <v>7</v>
      </c>
      <c r="G5" s="4" t="s">
        <v>8</v>
      </c>
      <c r="I5" s="5" t="s">
        <v>9</v>
      </c>
      <c r="M5" t="s">
        <v>10</v>
      </c>
      <c r="N5">
        <f>G16</f>
        <v>21</v>
      </c>
    </row>
    <row r="6" spans="1:14" ht="25.5" x14ac:dyDescent="0.5">
      <c r="A6" s="6">
        <v>3046</v>
      </c>
      <c r="C6" s="6">
        <v>2283</v>
      </c>
      <c r="E6" s="6">
        <v>1865</v>
      </c>
      <c r="G6" s="6">
        <v>742</v>
      </c>
      <c r="I6" s="6">
        <v>21</v>
      </c>
    </row>
    <row r="7" spans="1:14" x14ac:dyDescent="0.25">
      <c r="A7" s="7"/>
      <c r="C7" s="7"/>
      <c r="E7" s="7"/>
      <c r="G7" s="7"/>
      <c r="I7" s="7"/>
    </row>
    <row r="9" spans="1:14" ht="16.5" x14ac:dyDescent="0.3">
      <c r="A9" s="8"/>
    </row>
    <row r="10" spans="1:14" x14ac:dyDescent="0.25">
      <c r="A10" s="9" t="s">
        <v>11</v>
      </c>
      <c r="B10" s="10" t="s">
        <v>1</v>
      </c>
      <c r="C10" s="10" t="s">
        <v>12</v>
      </c>
      <c r="D10" s="10" t="s">
        <v>13</v>
      </c>
      <c r="E10" s="10" t="s">
        <v>4</v>
      </c>
      <c r="F10" s="10" t="s">
        <v>3</v>
      </c>
      <c r="G10" s="10" t="s">
        <v>10</v>
      </c>
    </row>
    <row r="11" spans="1:14" x14ac:dyDescent="0.25">
      <c r="A11" s="11" t="s">
        <v>14</v>
      </c>
      <c r="B11" s="12">
        <v>1632</v>
      </c>
      <c r="C11" s="12">
        <v>1605</v>
      </c>
      <c r="D11" s="12">
        <v>1315</v>
      </c>
      <c r="E11" s="12">
        <v>249</v>
      </c>
      <c r="F11" s="12">
        <v>520</v>
      </c>
      <c r="G11" s="12">
        <v>8</v>
      </c>
    </row>
    <row r="12" spans="1:14" x14ac:dyDescent="0.25">
      <c r="A12" s="13" t="s">
        <v>15</v>
      </c>
      <c r="B12" s="14">
        <v>771</v>
      </c>
      <c r="C12" s="14">
        <v>475</v>
      </c>
      <c r="D12" s="14">
        <v>380</v>
      </c>
      <c r="E12" s="14">
        <v>114</v>
      </c>
      <c r="F12" s="14">
        <v>161</v>
      </c>
      <c r="G12" s="14">
        <v>10</v>
      </c>
    </row>
    <row r="13" spans="1:14" x14ac:dyDescent="0.25">
      <c r="A13" s="11" t="s">
        <v>16</v>
      </c>
      <c r="B13" s="12">
        <v>345</v>
      </c>
      <c r="C13" s="12">
        <v>135</v>
      </c>
      <c r="D13" s="12">
        <v>110</v>
      </c>
      <c r="E13" s="12">
        <v>52</v>
      </c>
      <c r="F13" s="20">
        <v>45</v>
      </c>
      <c r="G13" s="12">
        <v>3</v>
      </c>
    </row>
    <row r="14" spans="1:14" x14ac:dyDescent="0.25">
      <c r="A14" s="13" t="s">
        <v>17</v>
      </c>
      <c r="B14" s="14">
        <v>294</v>
      </c>
      <c r="C14" s="14">
        <v>63</v>
      </c>
      <c r="D14" s="14">
        <v>55</v>
      </c>
      <c r="E14" s="14">
        <v>3</v>
      </c>
      <c r="F14" s="21">
        <v>15</v>
      </c>
      <c r="G14" s="14">
        <v>0</v>
      </c>
    </row>
    <row r="15" spans="1:14" x14ac:dyDescent="0.25">
      <c r="A15" s="11" t="s">
        <v>18</v>
      </c>
      <c r="B15" s="12">
        <v>4</v>
      </c>
      <c r="C15" s="12">
        <v>5</v>
      </c>
      <c r="D15" s="12">
        <v>5</v>
      </c>
      <c r="E15" s="12">
        <v>0</v>
      </c>
      <c r="F15" s="20">
        <v>1</v>
      </c>
      <c r="G15" s="12">
        <v>0</v>
      </c>
    </row>
    <row r="16" spans="1:14" x14ac:dyDescent="0.25">
      <c r="A16" s="15" t="s">
        <v>19</v>
      </c>
      <c r="B16" s="16">
        <f>SUM(B11:B15)</f>
        <v>3046</v>
      </c>
      <c r="C16" s="16">
        <f>SUM(C11:C15)</f>
        <v>2283</v>
      </c>
      <c r="D16" s="16">
        <f>SUM(D11:D15)</f>
        <v>1865</v>
      </c>
      <c r="E16" s="16">
        <f>SUM(E11:E15)</f>
        <v>418</v>
      </c>
      <c r="F16" s="16">
        <f>SUM(F11:F15)</f>
        <v>742</v>
      </c>
      <c r="G16" s="16">
        <f>SUM(G11:G15)</f>
        <v>21</v>
      </c>
    </row>
  </sheetData>
  <mergeCells count="2">
    <mergeCell ref="A3:J3"/>
    <mergeCell ref="A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2026-06-24T09:52:59Z</dcterms:created>
  <dcterms:modified xsi:type="dcterms:W3CDTF">2026-06-24T10:29:23Z</dcterms:modified>
</cp:coreProperties>
</file>